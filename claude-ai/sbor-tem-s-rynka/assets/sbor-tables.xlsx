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Расчёт нормы" sheetId="1" state="visible" r:id="rId3"/>
    <sheet name="Пример тем" sheetId="2" state="visible" r:id="rId4"/>
    <sheet name="Как пользоваться" sheetId="3" state="visible" r:id="rId5"/>
  </sheets>
  <definedNames>
    <definedName function="false" hidden="false" localSheetId="2" name="_xlnm.Print_Titles" vbProcedure="false">'Как пользоваться'!$1:$4</definedName>
    <definedName function="false" hidden="true" localSheetId="2" name="_xlnm._FilterDatabase" vbProcedure="false">'Как пользоваться'!$A$4:$B$10</definedName>
    <definedName function="false" hidden="false" localSheetId="1" name="_xlnm.Print_Titles" vbProcedure="false">'Пример тем'!$1:$4</definedName>
    <definedName function="false" hidden="true" localSheetId="1" name="_xlnm._FilterDatabase" vbProcedure="false">'Пример тем'!$A$4:$H$9</definedName>
    <definedName function="false" hidden="false" localSheetId="0" name="_xlnm.Print_Titles" vbProcedure="false">'Расчёт нормы'!$1:$8</definedName>
    <definedName function="false" hidden="true" localSheetId="0" name="_xlnm._FilterDatabase" vbProcedure="false">'Расчёт нормы'!$A$8:$H$17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СБОР</author>
  </authors>
  <commentList>
    <comment ref="B9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Источник: сохранённая проверенная выборка 22.10.2026, обезличена. Живые ссылки не включены.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53</xdr:colOff>
                <xdr:row>1</xdr:row>
                <xdr:rowOff>36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<sst xmlns="http://schemas.openxmlformats.org/spreadsheetml/2006/main" count="91" uniqueCount="72">
  <si>
    <t xml:space="preserve">Как отбираются публикации выше нормы</t>
  </si>
  <si>
    <t xml:space="preserve">Обезличенная проверенная выборка: 9 рилзов одного аккаунта. Меняй лайки и комментарии - формулы пересчитаются.</t>
  </si>
  <si>
    <t xml:space="preserve">Норма (медиана)</t>
  </si>
  <si>
    <t xml:space="preserve">Порог отбора</t>
  </si>
  <si>
    <t xml:space="preserve">Множитель</t>
  </si>
  <si>
    <t xml:space="preserve">Публикация</t>
  </si>
  <si>
    <t xml:space="preserve">Лайки</t>
  </si>
  <si>
    <t xml:space="preserve">Комментарии</t>
  </si>
  <si>
    <t xml:space="preserve">Отклик</t>
  </si>
  <si>
    <t xml:space="preserve">Норма</t>
  </si>
  <si>
    <t xml:space="preserve">К норме</t>
  </si>
  <si>
    <t xml:space="preserve">Решение</t>
  </si>
  <si>
    <t xml:space="preserve">Формула показателя</t>
  </si>
  <si>
    <t xml:space="preserve">Публикация 1</t>
  </si>
  <si>
    <t xml:space="preserve">Лайки + комментарии</t>
  </si>
  <si>
    <t xml:space="preserve">Публикация 2</t>
  </si>
  <si>
    <t xml:space="preserve">Публикация 3</t>
  </si>
  <si>
    <t xml:space="preserve">Публикация 4</t>
  </si>
  <si>
    <t xml:space="preserve">Публикация 5</t>
  </si>
  <si>
    <t xml:space="preserve">Публикация 6</t>
  </si>
  <si>
    <t xml:space="preserve">Публикация 7</t>
  </si>
  <si>
    <t xml:space="preserve">Публикация 8</t>
  </si>
  <si>
    <t xml:space="preserve">Публикация 9</t>
  </si>
  <si>
    <t xml:space="preserve">Как читать</t>
  </si>
  <si>
    <t xml:space="preserve">Отсортированные отклики: 784; 1 256; 2 663; 2 942; 3 575; 3 836; 4 701; 7 406; 16 292.</t>
  </si>
  <si>
    <t xml:space="preserve">Девять значений: середина - пятое, 3 575. Порог: 3 575 × 2 = 7 150.</t>
  </si>
  <si>
    <t xml:space="preserve">При чётном числе значений медиана равна среднему двух центральных. Разные аккаунты и форматы считаются отдельно.</t>
  </si>
  <si>
    <t xml:space="preserve">Пример оформления тем</t>
  </si>
  <si>
    <t xml:space="preserve">Пять тем из прежнего разбора, без живых ссылок и личных данных. Это пример структуры, а не готовый план на месяц.</t>
  </si>
  <si>
    <t xml:space="preserve">Неделя</t>
  </si>
  <si>
    <t xml:space="preserve">№</t>
  </si>
  <si>
    <t xml:space="preserve">Тема</t>
  </si>
  <si>
    <t xml:space="preserve">Вопрос аудитории</t>
  </si>
  <si>
    <t xml:space="preserve">Формат</t>
  </si>
  <si>
    <t xml:space="preserve">Что добавить автору</t>
  </si>
  <si>
    <t xml:space="preserve">Источник</t>
  </si>
  <si>
    <t xml:space="preserve">Статус</t>
  </si>
  <si>
    <t xml:space="preserve">Как собирать личную библиотеку визуальных референсов</t>
  </si>
  <si>
    <t xml:space="preserve">Как смотреть на бытовые и цифровые объекты так, чтобы они помогали дизайну?</t>
  </si>
  <si>
    <t xml:space="preserve">рилз</t>
  </si>
  <si>
    <t xml:space="preserve">Собрать пять собственных референсов и не приписывать себе опыт героя</t>
  </si>
  <si>
    <t xml:space="preserve">Адрес исходной публикации</t>
  </si>
  <si>
    <t xml:space="preserve">Нужен собственный пример</t>
  </si>
  <si>
    <t xml:space="preserve">Как освоить новый дизайн-инструмент без перегруза</t>
  </si>
  <si>
    <t xml:space="preserve">Как новичку разбить обучение сложному редактору на посильные шаги?</t>
  </si>
  <si>
    <t xml:space="preserve">карусель</t>
  </si>
  <si>
    <t xml:space="preserve">Добавить собственный учебный маршрут и отметить, где автор застрял</t>
  </si>
  <si>
    <t xml:space="preserve">Как типографика управляет вниманием</t>
  </si>
  <si>
    <t xml:space="preserve">Какие настройки шрифта сильнее всего меняют читаемость и акцент?</t>
  </si>
  <si>
    <t xml:space="preserve">Сделать до/после на собственном учебном макете</t>
  </si>
  <si>
    <t xml:space="preserve">Когда совмещать вектор и растр</t>
  </si>
  <si>
    <t xml:space="preserve">Как выбрать между векторными и растровыми инструментами в одной работе?</t>
  </si>
  <si>
    <t xml:space="preserve">Показать свой пробный файл и честно описать ошибки</t>
  </si>
  <si>
    <t xml:space="preserve">Рабочее пространство под свой процесс</t>
  </si>
  <si>
    <t xml:space="preserve">Какие панели и инструменты оставить новичку, чтобы интерфейс не мешал?</t>
  </si>
  <si>
    <t xml:space="preserve">Собрать свою раскладку и объяснить каждый выбор</t>
  </si>
  <si>
    <t xml:space="preserve">Книга СБОР: что внутри</t>
  </si>
  <si>
    <t xml:space="preserve">Все данные находятся в обычных ячейках Excel. Строки можно выбирать, фильтровать и редактировать.</t>
  </si>
  <si>
    <t xml:space="preserve">Раздел</t>
  </si>
  <si>
    <t xml:space="preserve">Пояснение</t>
  </si>
  <si>
    <t xml:space="preserve">Расчёт нормы</t>
  </si>
  <si>
    <t xml:space="preserve">Девять обезличенных публикаций. Лайки и комментарии - исходные значения, отклик, медиана, отношение и отбор - формулы.</t>
  </si>
  <si>
    <t xml:space="preserve">Пример тем</t>
  </si>
  <si>
    <t xml:space="preserve">Пять строк календаря. Адреса публикаций намеренно заменены обозначением поля, без живых ссылок.</t>
  </si>
  <si>
    <t xml:space="preserve">Твой результат от агента</t>
  </si>
  <si>
    <t xml:space="preserve">Попроси XLSX с листами архива, отбора, исключений и плана. Полные исходные ссылки будут из твоего сбора; в учебном файле их нет.</t>
  </si>
  <si>
    <t xml:space="preserve">Первое знакомство</t>
  </si>
  <si>
    <t xml:space="preserve">Агент сначала читает контекст проекта. Недостающее спрашивает и сохраняет в blog-profile.md; следующие запуски используют этот профиль.</t>
  </si>
  <si>
    <t xml:space="preserve">Полнота</t>
  </si>
  <si>
    <t xml:space="preserve">Неполный архив и нехватка тем должны быть явно отмечены. Пустые позиции не заполняются выдумкой.</t>
  </si>
  <si>
    <t xml:space="preserve">Источник расчёта</t>
  </si>
  <si>
    <t xml:space="preserve">Сохранённые результаты проверки 22.10.2026, один обезличенный аккаунт. Числа не представляют весь архив за 90 дней.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</si>
</sst>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&quot; ×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02F30"/>
      <name val="Arial"/>
      <family val="0"/>
      <charset val="1"/>
    </font>
    <font>
      <sz val="11"/>
      <color rgb="FF62706A"/>
      <name val="Arial"/>
      <family val="0"/>
      <charset val="1"/>
    </font>
    <font>
      <b val="true"/>
      <sz val="12"/>
      <color rgb="FF102F3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02F30"/>
      <name val="Arial"/>
      <family val="0"/>
      <charset val="1"/>
    </font>
    <font>
      <b val="true"/>
      <sz val="11"/>
      <color rgb="FF102F3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2E8E9"/>
        <bgColor rgb="FFF0E8D8"/>
      </patternFill>
    </fill>
    <fill>
      <patternFill patternType="solid">
        <fgColor rgb="FF102F30"/>
        <bgColor rgb="FF333333"/>
      </patternFill>
    </fill>
    <fill>
      <patternFill patternType="solid">
        <fgColor rgb="FFF8F7F2"/>
        <bgColor rgb="FFFFFFFF"/>
      </patternFill>
    </fill>
    <fill>
      <patternFill patternType="solid">
        <fgColor rgb="FFF0E8D8"/>
        <bgColor rgb="FFE2E8E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02F30"/>
          <bgColor rgb="FF000000"/>
        </patternFill>
      </fill>
    </dxf>
    <dxf>
      <fill>
        <patternFill patternType="solid">
          <fgColor rgb="FFF0E8D8"/>
          <bgColor rgb="FF000000"/>
        </patternFill>
      </fill>
    </dxf>
    <dxf>
      <fill>
        <patternFill patternType="solid">
          <fgColor rgb="FFF8F7F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7F2"/>
      <rgbColor rgb="FFE2E8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8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2706A"/>
      <rgbColor rgb="FF969696"/>
      <rgbColor rgb="FF003366"/>
      <rgbColor rgb="FF339966"/>
      <rgbColor rgb="FF102F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NormExample" displayName="NormExample" ref="A8:H17" headerRowCount="1" totalsRowCount="0" totalsRowShown="0">
  <autoFilter ref="A8:H17"/>
  <tableColumns count="8">
    <tableColumn id="1" name="Публикация"/>
    <tableColumn id="2" name="Лайки"/>
    <tableColumn id="3" name="Комментарии"/>
    <tableColumn id="4" name="Отклик"/>
    <tableColumn id="5" name="Норма"/>
    <tableColumn id="6" name="К норме"/>
    <tableColumn id="7" name="Решение"/>
    <tableColumn id="8" name="Формула показателя"/>
  </tableColumns>
</table>
</file>

<file path=xl/tables/table2.xml><?xml version="1.0" encoding="utf-8"?>
<table xmlns="http://schemas.openxmlformats.org/spreadsheetml/2006/main" id="2" name="ReadMe" displayName="ReadMe" ref="A4:B10" headerRowCount="1" totalsRowCount="0" totalsRowShown="0">
  <autoFilter ref="A4:B10"/>
  <tableColumns count="2">
    <tableColumn id="1" name="Раздел"/>
    <tableColumn id="2" name="Пояснение"/>
  </tableColumns>
</table>
</file>

<file path=xl/tables/table3.xml><?xml version="1.0" encoding="utf-8"?>
<table xmlns="http://schemas.openxmlformats.org/spreadsheetml/2006/main" id="3" name="TopicsExample" displayName="TopicsExample" ref="A4:H9" headerRowCount="1" totalsRowCount="0" totalsRowShown="0">
  <autoFilter ref="A4:H9"/>
  <tableColumns count="8">
    <tableColumn id="1" name="Неделя"/>
    <tableColumn id="2" name="№"/>
    <tableColumn id="3" name="Тема"/>
    <tableColumn id="4" name="Вопрос аудитории"/>
    <tableColumn id="5" name="Формат"/>
    <tableColumn id="6" name="Что добавить автору"/>
    <tableColumn id="7" name="Источник"/>
    <tableColumn id="8" name="Статус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6" min="4" style="0" width="14"/>
    <col collapsed="false" customWidth="true" hidden="false" outlineLevel="0" max="7" min="7" style="0" width="25"/>
    <col collapsed="false" customWidth="true" hidden="false" outlineLevel="0" max="8" min="8" style="0" width="2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7.5" hidden="false" customHeight="true" outlineLevel="0" collapsed="false">
      <c r="A4" s="3" t="s">
        <v>2</v>
      </c>
      <c r="B4" s="3" t="n">
        <f aca="false">MEDIAN(D9:D17)</f>
        <v>3575</v>
      </c>
      <c r="C4" s="3"/>
      <c r="D4" s="3" t="s">
        <v>3</v>
      </c>
      <c r="E4" s="3" t="n">
        <f aca="false">B4*H4</f>
        <v>7150</v>
      </c>
      <c r="F4" s="3"/>
      <c r="G4" s="3" t="s">
        <v>4</v>
      </c>
      <c r="H4" s="3" t="n">
        <v>2</v>
      </c>
    </row>
    <row r="8" customFormat="false" ht="33.75" hidden="false" customHeight="true" outlineLevel="0" collapsed="false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</row>
    <row r="9" customFormat="false" ht="33.75" hidden="false" customHeight="true" outlineLevel="0" collapsed="false">
      <c r="A9" s="5" t="s">
        <v>13</v>
      </c>
      <c r="B9" s="6" t="n">
        <v>1227</v>
      </c>
      <c r="C9" s="6" t="n">
        <v>29</v>
      </c>
      <c r="D9" s="6" t="n">
        <f aca="false">SUM(B9:C9)</f>
        <v>1256</v>
      </c>
      <c r="E9" s="6" t="n">
        <f aca="false">$B$4</f>
        <v>3575</v>
      </c>
      <c r="F9" s="7" t="n">
        <f aca="false">IF(E9=0,"",D9/E9)</f>
        <v>0.351328671328671</v>
      </c>
      <c r="G9" s="5" t="str">
        <f aca="false">IF(E9=0,"Ручной просмотр",IF(D9&gt;=$E$4,"В отбор","Обычный отклик"))</f>
        <v>Обычный отклик</v>
      </c>
      <c r="H9" s="5" t="s">
        <v>14</v>
      </c>
    </row>
    <row r="10" customFormat="false" ht="33.75" hidden="false" customHeight="true" outlineLevel="0" collapsed="false">
      <c r="A10" s="8" t="s">
        <v>15</v>
      </c>
      <c r="B10" s="9" t="n">
        <v>3771</v>
      </c>
      <c r="C10" s="9" t="n">
        <v>65</v>
      </c>
      <c r="D10" s="9" t="n">
        <f aca="false">SUM(B10:C10)</f>
        <v>3836</v>
      </c>
      <c r="E10" s="9" t="n">
        <f aca="false">$B$4</f>
        <v>3575</v>
      </c>
      <c r="F10" s="10" t="n">
        <f aca="false">IF(E10=0,"",D10/E10)</f>
        <v>1.07300699300699</v>
      </c>
      <c r="G10" s="8" t="str">
        <f aca="false">IF(E10=0,"Ручной просмотр",IF(D10&gt;=$E$4,"В отбор","Обычный отклик"))</f>
        <v>Обычный отклик</v>
      </c>
      <c r="H10" s="8" t="s">
        <v>14</v>
      </c>
    </row>
    <row r="11" customFormat="false" ht="33.75" hidden="false" customHeight="true" outlineLevel="0" collapsed="false">
      <c r="A11" s="5" t="s">
        <v>16</v>
      </c>
      <c r="B11" s="6" t="n">
        <v>4628</v>
      </c>
      <c r="C11" s="6" t="n">
        <v>73</v>
      </c>
      <c r="D11" s="6" t="n">
        <f aca="false">SUM(B11:C11)</f>
        <v>4701</v>
      </c>
      <c r="E11" s="6" t="n">
        <f aca="false">$B$4</f>
        <v>3575</v>
      </c>
      <c r="F11" s="7" t="n">
        <f aca="false">IF(E11=0,"",D11/E11)</f>
        <v>1.31496503496504</v>
      </c>
      <c r="G11" s="5" t="str">
        <f aca="false">IF(E11=0,"Ручной просмотр",IF(D11&gt;=$E$4,"В отбор","Обычный отклик"))</f>
        <v>Обычный отклик</v>
      </c>
      <c r="H11" s="5" t="s">
        <v>14</v>
      </c>
    </row>
    <row r="12" customFormat="false" ht="33.75" hidden="false" customHeight="true" outlineLevel="0" collapsed="false">
      <c r="A12" s="8" t="s">
        <v>17</v>
      </c>
      <c r="B12" s="9" t="n">
        <v>2887</v>
      </c>
      <c r="C12" s="9" t="n">
        <v>55</v>
      </c>
      <c r="D12" s="9" t="n">
        <f aca="false">SUM(B12:C12)</f>
        <v>2942</v>
      </c>
      <c r="E12" s="9" t="n">
        <f aca="false">$B$4</f>
        <v>3575</v>
      </c>
      <c r="F12" s="10" t="n">
        <f aca="false">IF(E12=0,"",D12/E12)</f>
        <v>0.822937062937063</v>
      </c>
      <c r="G12" s="8" t="str">
        <f aca="false">IF(E12=0,"Ручной просмотр",IF(D12&gt;=$E$4,"В отбор","Обычный отклик"))</f>
        <v>Обычный отклик</v>
      </c>
      <c r="H12" s="8" t="s">
        <v>14</v>
      </c>
    </row>
    <row r="13" customFormat="false" ht="33.75" hidden="false" customHeight="true" outlineLevel="0" collapsed="false">
      <c r="A13" s="5" t="s">
        <v>18</v>
      </c>
      <c r="B13" s="6" t="n">
        <v>3534</v>
      </c>
      <c r="C13" s="6" t="n">
        <v>41</v>
      </c>
      <c r="D13" s="6" t="n">
        <f aca="false">SUM(B13:C13)</f>
        <v>3575</v>
      </c>
      <c r="E13" s="6" t="n">
        <f aca="false">$B$4</f>
        <v>3575</v>
      </c>
      <c r="F13" s="7" t="n">
        <f aca="false">IF(E13=0,"",D13/E13)</f>
        <v>1</v>
      </c>
      <c r="G13" s="5" t="str">
        <f aca="false">IF(E13=0,"Ручной просмотр",IF(D13&gt;=$E$4,"В отбор","Обычный отклик"))</f>
        <v>Обычный отклик</v>
      </c>
      <c r="H13" s="5" t="s">
        <v>14</v>
      </c>
    </row>
    <row r="14" customFormat="false" ht="33.75" hidden="false" customHeight="true" outlineLevel="0" collapsed="false">
      <c r="A14" s="8" t="s">
        <v>19</v>
      </c>
      <c r="B14" s="9" t="n">
        <v>7257</v>
      </c>
      <c r="C14" s="9" t="n">
        <v>149</v>
      </c>
      <c r="D14" s="9" t="n">
        <f aca="false">SUM(B14:C14)</f>
        <v>7406</v>
      </c>
      <c r="E14" s="9" t="n">
        <f aca="false">$B$4</f>
        <v>3575</v>
      </c>
      <c r="F14" s="10" t="n">
        <f aca="false">IF(E14=0,"",D14/E14)</f>
        <v>2.07160839160839</v>
      </c>
      <c r="G14" s="8" t="str">
        <f aca="false">IF(E14=0,"Ручной просмотр",IF(D14&gt;=$E$4,"В отбор","Обычный отклик"))</f>
        <v>В отбор</v>
      </c>
      <c r="H14" s="8" t="s">
        <v>14</v>
      </c>
    </row>
    <row r="15" customFormat="false" ht="33.75" hidden="false" customHeight="true" outlineLevel="0" collapsed="false">
      <c r="A15" s="5" t="s">
        <v>20</v>
      </c>
      <c r="B15" s="6" t="n">
        <v>762</v>
      </c>
      <c r="C15" s="6" t="n">
        <v>22</v>
      </c>
      <c r="D15" s="6" t="n">
        <f aca="false">SUM(B15:C15)</f>
        <v>784</v>
      </c>
      <c r="E15" s="6" t="n">
        <f aca="false">$B$4</f>
        <v>3575</v>
      </c>
      <c r="F15" s="7" t="n">
        <f aca="false">IF(E15=0,"",D15/E15)</f>
        <v>0.219300699300699</v>
      </c>
      <c r="G15" s="5" t="str">
        <f aca="false">IF(E15=0,"Ручной просмотр",IF(D15&gt;=$E$4,"В отбор","Обычный отклик"))</f>
        <v>Обычный отклик</v>
      </c>
      <c r="H15" s="5" t="s">
        <v>14</v>
      </c>
    </row>
    <row r="16" customFormat="false" ht="33.75" hidden="false" customHeight="true" outlineLevel="0" collapsed="false">
      <c r="A16" s="8" t="s">
        <v>21</v>
      </c>
      <c r="B16" s="9" t="n">
        <v>16217</v>
      </c>
      <c r="C16" s="9" t="n">
        <v>75</v>
      </c>
      <c r="D16" s="9" t="n">
        <f aca="false">SUM(B16:C16)</f>
        <v>16292</v>
      </c>
      <c r="E16" s="9" t="n">
        <f aca="false">$B$4</f>
        <v>3575</v>
      </c>
      <c r="F16" s="10" t="n">
        <f aca="false">IF(E16=0,"",D16/E16)</f>
        <v>4.5572027972028</v>
      </c>
      <c r="G16" s="8" t="str">
        <f aca="false">IF(E16=0,"Ручной просмотр",IF(D16&gt;=$E$4,"В отбор","Обычный отклик"))</f>
        <v>В отбор</v>
      </c>
      <c r="H16" s="8" t="s">
        <v>14</v>
      </c>
    </row>
    <row r="17" customFormat="false" ht="33.75" hidden="false" customHeight="true" outlineLevel="0" collapsed="false">
      <c r="A17" s="5" t="s">
        <v>22</v>
      </c>
      <c r="B17" s="6" t="n">
        <v>2635</v>
      </c>
      <c r="C17" s="6" t="n">
        <v>28</v>
      </c>
      <c r="D17" s="6" t="n">
        <f aca="false">SUM(B17:C17)</f>
        <v>2663</v>
      </c>
      <c r="E17" s="6" t="n">
        <f aca="false">$B$4</f>
        <v>3575</v>
      </c>
      <c r="F17" s="7" t="n">
        <f aca="false">IF(E17=0,"",D17/E17)</f>
        <v>0.744895104895105</v>
      </c>
      <c r="G17" s="5" t="str">
        <f aca="false">IF(E17=0,"Ручной просмотр",IF(D17&gt;=$E$4,"В отбор","Обычный отклик"))</f>
        <v>Обычный отклик</v>
      </c>
      <c r="H17" s="5" t="s">
        <v>14</v>
      </c>
    </row>
    <row r="20" customFormat="false" ht="15" hidden="false" customHeight="false" outlineLevel="0" collapsed="false">
      <c r="A20" s="11" t="s">
        <v>23</v>
      </c>
    </row>
    <row r="21" customFormat="false" ht="30" hidden="false" customHeight="true" outlineLevel="0" collapsed="false">
      <c r="A21" s="12" t="s">
        <v>24</v>
      </c>
      <c r="B21" s="12"/>
      <c r="C21" s="12"/>
      <c r="D21" s="12"/>
      <c r="E21" s="12"/>
      <c r="F21" s="12"/>
      <c r="G21" s="12"/>
      <c r="H21" s="12"/>
    </row>
    <row r="22" customFormat="false" ht="30" hidden="false" customHeight="true" outlineLevel="0" collapsed="false">
      <c r="A22" s="12" t="s">
        <v>25</v>
      </c>
      <c r="B22" s="12"/>
      <c r="C22" s="12"/>
      <c r="D22" s="12"/>
      <c r="E22" s="12"/>
      <c r="F22" s="12"/>
      <c r="G22" s="12"/>
      <c r="H22" s="12"/>
    </row>
    <row r="23" customFormat="false" ht="30" hidden="false" customHeight="true" outlineLevel="0" collapsed="false">
      <c r="A23" s="12" t="s">
        <v>26</v>
      </c>
      <c r="B23" s="12"/>
      <c r="C23" s="12"/>
      <c r="D23" s="12"/>
      <c r="E23" s="12"/>
      <c r="F23" s="12"/>
      <c r="G23" s="12"/>
      <c r="H23" s="12"/>
    </row>
  </sheetData>
  <autoFilter ref="A8:H17"/>
  <mergeCells count="5">
    <mergeCell ref="A1:H1"/>
    <mergeCell ref="A2:H2"/>
    <mergeCell ref="A21:H21"/>
    <mergeCell ref="A22:H22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4" min="3" style="0" width="48"/>
    <col collapsed="false" customWidth="true" hidden="false" outlineLevel="0" max="5" min="5" style="0" width="17"/>
    <col collapsed="false" customWidth="true" hidden="false" outlineLevel="0" max="6" min="6" style="0" width="50"/>
    <col collapsed="false" customWidth="true" hidden="false" outlineLevel="0" max="7" min="7" style="0" width="32"/>
    <col collapsed="false" customWidth="true" hidden="false" outlineLevel="0" max="8" min="8" style="0" width="33"/>
  </cols>
  <sheetData>
    <row r="1" customFormat="false" ht="33.75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</row>
    <row r="2" customFormat="false" ht="37.5" hidden="false" customHeight="true" outlineLevel="0" collapsed="false">
      <c r="A2" s="2" t="s">
        <v>28</v>
      </c>
      <c r="B2" s="2"/>
      <c r="C2" s="2"/>
      <c r="D2" s="2"/>
      <c r="E2" s="2"/>
      <c r="F2" s="2"/>
      <c r="G2" s="2"/>
      <c r="H2" s="2"/>
    </row>
    <row r="4" customFormat="false" ht="33.75" hidden="false" customHeight="true" outlineLevel="0" collapsed="false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</row>
    <row r="5" customFormat="false" ht="91.5" hidden="false" customHeight="true" outlineLevel="0" collapsed="false">
      <c r="A5" s="5" t="n">
        <v>1</v>
      </c>
      <c r="B5" s="5" t="n">
        <v>1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</row>
    <row r="6" customFormat="false" ht="91.5" hidden="false" customHeight="true" outlineLevel="0" collapsed="false">
      <c r="A6" s="8" t="n">
        <v>1</v>
      </c>
      <c r="B6" s="8" t="n">
        <v>2</v>
      </c>
      <c r="C6" s="8" t="s">
        <v>43</v>
      </c>
      <c r="D6" s="8" t="s">
        <v>44</v>
      </c>
      <c r="E6" s="8" t="s">
        <v>45</v>
      </c>
      <c r="F6" s="8" t="s">
        <v>46</v>
      </c>
      <c r="G6" s="8" t="s">
        <v>41</v>
      </c>
      <c r="H6" s="8" t="s">
        <v>42</v>
      </c>
    </row>
    <row r="7" customFormat="false" ht="91.5" hidden="false" customHeight="true" outlineLevel="0" collapsed="false">
      <c r="A7" s="5" t="n">
        <v>1</v>
      </c>
      <c r="B7" s="5" t="n">
        <v>3</v>
      </c>
      <c r="C7" s="5" t="s">
        <v>47</v>
      </c>
      <c r="D7" s="5" t="s">
        <v>48</v>
      </c>
      <c r="E7" s="5" t="s">
        <v>45</v>
      </c>
      <c r="F7" s="5" t="s">
        <v>49</v>
      </c>
      <c r="G7" s="5" t="s">
        <v>41</v>
      </c>
      <c r="H7" s="5" t="s">
        <v>42</v>
      </c>
    </row>
    <row r="8" customFormat="false" ht="91.5" hidden="false" customHeight="true" outlineLevel="0" collapsed="false">
      <c r="A8" s="8" t="n">
        <v>2</v>
      </c>
      <c r="B8" s="8" t="n">
        <v>4</v>
      </c>
      <c r="C8" s="8" t="s">
        <v>50</v>
      </c>
      <c r="D8" s="8" t="s">
        <v>51</v>
      </c>
      <c r="E8" s="8" t="s">
        <v>45</v>
      </c>
      <c r="F8" s="8" t="s">
        <v>52</v>
      </c>
      <c r="G8" s="8" t="s">
        <v>41</v>
      </c>
      <c r="H8" s="8" t="s">
        <v>42</v>
      </c>
    </row>
    <row r="9" customFormat="false" ht="91.5" hidden="false" customHeight="true" outlineLevel="0" collapsed="false">
      <c r="A9" s="5" t="n">
        <v>2</v>
      </c>
      <c r="B9" s="5" t="n">
        <v>5</v>
      </c>
      <c r="C9" s="5" t="s">
        <v>53</v>
      </c>
      <c r="D9" s="5" t="s">
        <v>54</v>
      </c>
      <c r="E9" s="5" t="s">
        <v>45</v>
      </c>
      <c r="F9" s="5" t="s">
        <v>55</v>
      </c>
      <c r="G9" s="5" t="s">
        <v>41</v>
      </c>
      <c r="H9" s="5" t="s">
        <v>42</v>
      </c>
    </row>
  </sheetData>
  <autoFilter ref="A4:H9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5"/>
  </cols>
  <sheetData>
    <row r="1" customFormat="false" ht="33.75" hidden="false" customHeight="true" outlineLevel="0" collapsed="false">
      <c r="A1" s="1" t="s">
        <v>56</v>
      </c>
      <c r="B1" s="1"/>
    </row>
    <row r="2" customFormat="false" ht="37.5" hidden="false" customHeight="true" outlineLevel="0" collapsed="false">
      <c r="A2" s="2" t="s">
        <v>57</v>
      </c>
      <c r="B2" s="2"/>
    </row>
    <row r="4" customFormat="false" ht="33.75" hidden="false" customHeight="true" outlineLevel="0" collapsed="false">
      <c r="A4" s="4" t="s">
        <v>58</v>
      </c>
      <c r="B4" s="4" t="s">
        <v>59</v>
      </c>
    </row>
    <row r="5" customFormat="false" ht="91.5" hidden="false" customHeight="true" outlineLevel="0" collapsed="false">
      <c r="A5" s="5" t="s">
        <v>60</v>
      </c>
      <c r="B5" s="5" t="s">
        <v>61</v>
      </c>
    </row>
    <row r="6" customFormat="false" ht="91.5" hidden="false" customHeight="true" outlineLevel="0" collapsed="false">
      <c r="A6" s="8" t="s">
        <v>62</v>
      </c>
      <c r="B6" s="8" t="s">
        <v>63</v>
      </c>
    </row>
    <row r="7" customFormat="false" ht="91.5" hidden="false" customHeight="true" outlineLevel="0" collapsed="false">
      <c r="A7" s="5" t="s">
        <v>64</v>
      </c>
      <c r="B7" s="5" t="s">
        <v>65</v>
      </c>
    </row>
    <row r="8" customFormat="false" ht="91.5" hidden="false" customHeight="true" outlineLevel="0" collapsed="false">
      <c r="A8" s="8" t="s">
        <v>66</v>
      </c>
      <c r="B8" s="8" t="s">
        <v>67</v>
      </c>
    </row>
    <row r="9" customFormat="false" ht="91.5" hidden="false" customHeight="true" outlineLevel="0" collapsed="false">
      <c r="A9" s="5" t="s">
        <v>68</v>
      </c>
      <c r="B9" s="5" t="s">
        <v>69</v>
      </c>
    </row>
    <row r="10" customFormat="false" ht="91.5" hidden="false" customHeight="true" outlineLevel="0" collapsed="false">
      <c r="A10" s="8" t="s">
        <v>70</v>
      </c>
      <c r="B10" s="8" t="s">
        <v>71</v>
      </c>
    </row>
  </sheetData>
  <autoFilter ref="A4:B10"/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2026-10-22T17:17:18Z</dcterms:created>
  <dc:creator>openpyxl</dc:creator>
  <dc:description/>
  <dc:language>ru-RU</dc:language>
  <cp:lastModifiedBy/>
  <dcterms:modified xsi:type="dcterms:W3CDTF">2026-10-22T17:17:18Z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